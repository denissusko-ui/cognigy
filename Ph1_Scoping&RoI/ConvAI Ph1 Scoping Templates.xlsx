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1. Channel Discovery" sheetId="3" state="visible" r:id="rId3"/>
    <sheet xmlns:r="http://schemas.openxmlformats.org/officeDocument/2006/relationships" name="2. Feasibility Matrix" sheetId="4" state="visible" r:id="rId4"/>
    <sheet xmlns:r="http://schemas.openxmlformats.org/officeDocument/2006/relationships" name="3. ROI Forecast" sheetId="5" state="visible" r:id="rId5"/>
  </sheets>
  <definedNames>
    <definedName name="_xlnm.Print_Area" localSheetId="0">'Project Charter'!$A$1:$D$33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€#,##0.00"/>
    <numFmt numFmtId="166" formatCode="€#,##0.000"/>
    <numFmt numFmtId="167" formatCode="€#,##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0000FF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0" fillId="0" borderId="1" pivotButton="0" quotePrefix="0" xfId="0"/>
    <xf numFmtId="3" fontId="7" fillId="0" borderId="1" applyAlignment="1" pivotButton="0" quotePrefix="0" xfId="0">
      <alignment horizontal="left" vertical="top" wrapText="1"/>
    </xf>
    <xf numFmtId="167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0" fillId="0" borderId="0" pivotButton="0" quotePrefix="0" xfId="0"/>
    <xf numFmtId="165" fontId="11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166" fontId="4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10" fillId="6" borderId="1" pivotButton="0" quotePrefix="0" xfId="0"/>
    <xf numFmtId="3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7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22" customHeight="1">
      <c r="A1" s="1" t="inlineStr">
        <is>
          <t>PROJECT CHARTER — Conversational AI (Phase 1)</t>
        </is>
      </c>
    </row>
    <row r="2" ht="16" customHeight="1">
      <c r="A2" s="2" t="inlineStr">
        <is>
          <t>One-page scope summary. Blue = you fill in · Green = pulled from the ROI Forecast tab (don't overwrite).</t>
        </is>
      </c>
    </row>
    <row r="4" ht="20" customHeight="1">
      <c r="A4" s="3" t="inlineStr">
        <is>
          <t>PROJECT IDENTITY</t>
        </is>
      </c>
      <c r="B4" s="4" t="n"/>
      <c r="C4" s="4" t="n"/>
      <c r="D4" s="4" t="n"/>
    </row>
    <row r="5" ht="18" customHeight="1">
      <c r="A5" s="5" t="inlineStr">
        <is>
          <t>Project name</t>
        </is>
      </c>
      <c r="B5" s="6" t="inlineStr">
        <is>
          <t>Order-Cancellation Assistant</t>
        </is>
      </c>
      <c r="C5" s="7" t="n"/>
      <c r="D5" s="7" t="n"/>
    </row>
    <row r="6" ht="18" customHeight="1">
      <c r="A6" s="5" t="inlineStr">
        <is>
          <t>Business sponsor</t>
        </is>
      </c>
      <c r="B6" s="6" t="inlineStr"/>
      <c r="C6" s="7" t="n"/>
      <c r="D6" s="7" t="n"/>
    </row>
    <row r="7" ht="18" customHeight="1">
      <c r="A7" s="5" t="inlineStr">
        <is>
          <t>Conv AI BA / Architect</t>
        </is>
      </c>
      <c r="B7" s="6" t="inlineStr">
        <is>
          <t>Denis Šuško</t>
        </is>
      </c>
      <c r="C7" s="7" t="n"/>
      <c r="D7" s="7" t="n"/>
    </row>
    <row r="8" ht="18" customHeight="1">
      <c r="A8" s="5" t="inlineStr">
        <is>
          <t>Date / Version</t>
        </is>
      </c>
      <c r="B8" s="6" t="inlineStr"/>
      <c r="C8" s="7" t="n"/>
      <c r="D8" s="7" t="n"/>
    </row>
    <row r="10" ht="20" customHeight="1">
      <c r="A10" s="3" t="inlineStr">
        <is>
          <t>SCOPE</t>
        </is>
      </c>
      <c r="B10" s="4" t="n"/>
      <c r="C10" s="4" t="n"/>
      <c r="D10" s="4" t="n"/>
    </row>
    <row r="11" ht="30" customHeight="1">
      <c r="A11" s="5" t="inlineStr">
        <is>
          <t>Primary goal</t>
        </is>
      </c>
      <c r="B11" s="6" t="inlineStr">
        <is>
          <t>Automate order cancellation (~15% of inbound chat volume).</t>
        </is>
      </c>
      <c r="C11" s="7" t="n"/>
      <c r="D11" s="7" t="n"/>
    </row>
    <row r="12" ht="18" customHeight="1">
      <c r="A12" s="5" t="inlineStr">
        <is>
          <t>Target channel(s)</t>
        </is>
      </c>
      <c r="B12" s="6" t="inlineStr">
        <is>
          <t>Webchat widget</t>
        </is>
      </c>
      <c r="C12" s="7" t="n"/>
      <c r="D12" s="7" t="n"/>
    </row>
    <row r="13" ht="24" customHeight="1">
      <c r="A13" s="5" t="inlineStr">
        <is>
          <t>In-scope intents</t>
        </is>
      </c>
      <c r="B13" s="6" t="inlineStr">
        <is>
          <t>check_order_status, cancel_order</t>
        </is>
      </c>
      <c r="C13" s="7" t="n"/>
      <c r="D13" s="7" t="n"/>
    </row>
    <row r="14" ht="40" customHeight="1">
      <c r="A14" s="5" t="inlineStr">
        <is>
          <t>Out of scope</t>
        </is>
      </c>
      <c r="B14" s="6" t="inlineStr">
        <is>
          <t>Voicebot / telephony; issuing monetary refunds directly (bot cancels order state only — refund handled by finance).</t>
        </is>
      </c>
      <c r="C14" s="7" t="n"/>
      <c r="D14" s="7" t="n"/>
    </row>
    <row r="15" ht="40" customHeight="1">
      <c r="A15" s="5" t="inlineStr">
        <is>
          <t>Authentication</t>
        </is>
      </c>
      <c r="B15" s="6" t="inlineStr">
        <is>
          <t>Logged-in webchat session token; unauthenticated users routed to login before any account action.</t>
        </is>
      </c>
      <c r="C15" s="7" t="n"/>
      <c r="D15" s="7" t="n"/>
    </row>
    <row r="16" ht="30" customHeight="1">
      <c r="A16" s="5" t="inlineStr">
        <is>
          <t>Handoff triggers</t>
        </is>
      </c>
      <c r="B16" s="6" t="inlineStr">
        <is>
          <t>Order value &gt; €500; OR 2 consecutive failed inputs; OR negative sentiment.</t>
        </is>
      </c>
      <c r="C16" s="7" t="n"/>
      <c r="D16" s="7" t="n"/>
    </row>
    <row r="18" ht="20" customHeight="1">
      <c r="A18" s="3" t="inlineStr">
        <is>
          <t>BUSINESS CASE  (Phase 1 — auto-pulled from ROI Forecast)</t>
        </is>
      </c>
      <c r="B18" s="4" t="n"/>
      <c r="C18" s="4" t="n"/>
      <c r="D18" s="4" t="n"/>
    </row>
    <row r="19" ht="18" customHeight="1">
      <c r="A19" s="5" t="inlineStr">
        <is>
          <t>Monthly contacts resolved by bot</t>
        </is>
      </c>
      <c r="B19" s="8">
        <f>'3. ROI Forecast'!$E$15</f>
        <v/>
      </c>
      <c r="C19" s="7" t="n"/>
      <c r="D19" s="7" t="n"/>
    </row>
    <row r="20" ht="18" customHeight="1">
      <c r="A20" s="5" t="inlineStr">
        <is>
          <t>Agent hours freed / month</t>
        </is>
      </c>
      <c r="B20" s="8">
        <f>'3. ROI Forecast'!$F$15</f>
        <v/>
      </c>
      <c r="C20" s="7" t="n"/>
      <c r="D20" s="7" t="n"/>
    </row>
    <row r="21" ht="18" customHeight="1">
      <c r="A21" s="5" t="inlineStr">
        <is>
          <t>Estimated savings / month (€)</t>
        </is>
      </c>
      <c r="B21" s="9">
        <f>'3. ROI Forecast'!$G$15</f>
        <v/>
      </c>
      <c r="C21" s="7" t="n"/>
      <c r="D21" s="7" t="n"/>
    </row>
    <row r="22" ht="18" customHeight="1">
      <c r="A22" s="5" t="inlineStr">
        <is>
          <t>Estimated savings / year (€)</t>
        </is>
      </c>
      <c r="B22" s="9">
        <f>'3. ROI Forecast'!$H$15</f>
        <v/>
      </c>
      <c r="C22" s="7" t="n"/>
      <c r="D22" s="7" t="n"/>
    </row>
    <row r="24" ht="20" customHeight="1">
      <c r="A24" s="3" t="inlineStr">
        <is>
          <t>SUCCESS CRITERIA (agree targets + baselines during scoping)</t>
        </is>
      </c>
      <c r="B24" s="4" t="n"/>
      <c r="C24" s="4" t="n"/>
      <c r="D24" s="4" t="n"/>
    </row>
    <row r="25" ht="16" customHeight="1">
      <c r="A25" s="6" t="inlineStr">
        <is>
          <t>Resolution rate — target vs. current baseline</t>
        </is>
      </c>
      <c r="B25" s="7" t="n"/>
      <c r="C25" s="7" t="n"/>
      <c r="D25" s="7" t="n"/>
    </row>
    <row r="26" ht="16" customHeight="1">
      <c r="A26" s="6" t="inlineStr">
        <is>
          <t>Escalation rate — acceptable ceiling</t>
        </is>
      </c>
      <c r="B26" s="7" t="n"/>
      <c r="C26" s="7" t="n"/>
      <c r="D26" s="7" t="n"/>
    </row>
    <row r="27" ht="16" customHeight="1">
      <c r="A27" s="6" t="inlineStr">
        <is>
          <t>CSAT — bot vs. agent</t>
        </is>
      </c>
      <c r="B27" s="7" t="n"/>
      <c r="C27" s="7" t="n"/>
      <c r="D27" s="7" t="n"/>
    </row>
    <row r="28" ht="16" customHeight="1">
      <c r="A28" s="6" t="inlineStr">
        <is>
          <t>Repeat-contact rate within 7 days (guards against fake containment)</t>
        </is>
      </c>
      <c r="B28" s="7" t="n"/>
      <c r="C28" s="7" t="n"/>
      <c r="D28" s="7" t="n"/>
    </row>
    <row r="30" ht="20" customHeight="1">
      <c r="A30" s="3" t="inlineStr">
        <is>
          <t>ASSUMPTIONS · DEPENDENCIES · RISKS</t>
        </is>
      </c>
      <c r="B30" s="4" t="n"/>
      <c r="C30" s="4" t="n"/>
      <c r="D30" s="4" t="n"/>
    </row>
    <row r="31" ht="40" customHeight="1">
      <c r="A31" s="5" t="inlineStr">
        <is>
          <t>Assumptions</t>
        </is>
      </c>
      <c r="B31" s="10" t="inlineStr">
        <is>
          <t>Order-management REST API available in test; historical chat logs exportable; owner can sign off tone &amp; guardrails.</t>
        </is>
      </c>
      <c r="C31" s="7" t="n"/>
      <c r="D31" s="7" t="n"/>
    </row>
    <row r="32" ht="52" customHeight="1">
      <c r="A32" s="5" t="inlineStr">
        <is>
          <t>Dependencies</t>
        </is>
      </c>
      <c r="B32" s="10" t="inlineStr">
        <is>
          <t>Identity/SSO team (auth); contact-centre platform (live handover); Legal/DPO (GDPR sign-off); works council (Betriebsrat) alignment + Betriebsvereinbarung where the bot touches employee workflows (DACH).</t>
        </is>
      </c>
      <c r="C32" s="7" t="n"/>
      <c r="D32" s="7" t="n"/>
    </row>
    <row r="33" ht="52" customHeight="1">
      <c r="A33" s="5" t="inlineStr">
        <is>
          <t>Risks</t>
        </is>
      </c>
      <c r="B33" s="10" t="inlineStr">
        <is>
          <t>Legacy systems without APIs cap automation; poor-quality logs weaken NLU; over-optimistic resolution targets erode trust; in DACH, starting build before works-council sign-off can freeze the project.</t>
        </is>
      </c>
      <c r="C33" s="7" t="n"/>
      <c r="D33" s="7" t="n"/>
    </row>
  </sheetData>
  <mergeCells count="28">
    <mergeCell ref="B11:D11"/>
    <mergeCell ref="B14:D14"/>
    <mergeCell ref="A4:D4"/>
    <mergeCell ref="B8:D8"/>
    <mergeCell ref="B13:D13"/>
    <mergeCell ref="A10:D10"/>
    <mergeCell ref="A28:D28"/>
    <mergeCell ref="B19:D19"/>
    <mergeCell ref="A30:D30"/>
    <mergeCell ref="A24:D24"/>
    <mergeCell ref="B15:D15"/>
    <mergeCell ref="B6:D6"/>
    <mergeCell ref="B20:D20"/>
    <mergeCell ref="B33:D33"/>
    <mergeCell ref="A1:D1"/>
    <mergeCell ref="B5:D5"/>
    <mergeCell ref="B32:D32"/>
    <mergeCell ref="A25:D25"/>
    <mergeCell ref="B7:D7"/>
    <mergeCell ref="B16:D16"/>
    <mergeCell ref="A18:D18"/>
    <mergeCell ref="A27:D27"/>
    <mergeCell ref="B31:D31"/>
    <mergeCell ref="B22:D22"/>
    <mergeCell ref="A26:D26"/>
    <mergeCell ref="B21:D21"/>
    <mergeCell ref="A2:D2"/>
    <mergeCell ref="B12:D12"/>
  </mergeCells>
  <pageMargins left="0.5" right="0.5" top="0.5" bottom="0.5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2" customHeight="1">
      <c r="A1" s="1" t="inlineStr">
        <is>
          <t>Conversational AI — Phase 1 (Scoping) Templates</t>
        </is>
      </c>
    </row>
    <row r="2" ht="30" customHeight="1">
      <c r="A2" s="11" t="inlineStr">
        <is>
          <t>Three linked tables that turn raw contact-centre data into a funded Phase-1 roadmap. Fill them left to right: Discovery (facts) → Feasibility (judgment) → ROI (money).</t>
        </is>
      </c>
    </row>
    <row r="4">
      <c r="A4" s="12" t="inlineStr"/>
      <c r="B4" s="13" t="inlineStr"/>
    </row>
    <row r="5">
      <c r="A5" s="14" t="inlineStr">
        <is>
          <t>WORKFLOW — fill the tabs in this order</t>
        </is>
      </c>
    </row>
    <row r="6" ht="39" customHeight="1">
      <c r="A6" s="12" t="inlineStr">
        <is>
          <t>Tab 1 · Channel Discovery</t>
        </is>
      </c>
      <c r="B6" s="13" t="inlineStr">
        <is>
          <t>WHAT customers contact you about today, and how much it costs. Observed data collected BEFORE any bot is built — from call/chat logs, ticket analytics, support managers.</t>
        </is>
      </c>
    </row>
    <row r="7" ht="39" customHeight="1">
      <c r="A7" s="12" t="inlineStr">
        <is>
          <t>Tab 2 · Feasibility Matrix</t>
        </is>
      </c>
      <c r="B7" s="13" t="inlineStr">
        <is>
          <t>CAN the bot actually do it? For each intent you judge API readiness, complexity, and a realistic Target Resolution %. Where BA/architect expertise sets the phase plan.</t>
        </is>
      </c>
    </row>
    <row r="8" ht="39" customHeight="1">
      <c r="A8" s="12" t="inlineStr">
        <is>
          <t>Tab 3 · ROI Forecast</t>
        </is>
      </c>
      <c r="B8" s="13" t="inlineStr">
        <is>
          <t>WHAT it's worth. Pulls volume from Tab 1 and resolution % from Tab 2 automatically, applies one editable agent-cost rate, and outputs monthly + annual savings.</t>
        </is>
      </c>
    </row>
    <row r="9">
      <c r="A9" s="12" t="inlineStr"/>
      <c r="B9" s="13" t="inlineStr"/>
    </row>
    <row r="10">
      <c r="A10" s="14" t="inlineStr">
        <is>
          <t>COLOR KEY</t>
        </is>
      </c>
    </row>
    <row r="11" ht="24" customHeight="1">
      <c r="A11" s="15" t="inlineStr">
        <is>
          <t>Blue text</t>
        </is>
      </c>
      <c r="B11" s="13" t="inlineStr">
        <is>
          <t>You type this in (raw data / your judgment).</t>
        </is>
      </c>
    </row>
    <row r="12" ht="26" customHeight="1">
      <c r="A12" s="16" t="inlineStr">
        <is>
          <t>Yellow cell</t>
        </is>
      </c>
      <c r="B12" s="13" t="inlineStr">
        <is>
          <t>Key assumption to set once — the agent cost rate on Tab 3. Everything recalculates from it.</t>
        </is>
      </c>
    </row>
    <row r="13" ht="26" customHeight="1">
      <c r="A13" s="17" t="inlineStr">
        <is>
          <t>Green text</t>
        </is>
      </c>
      <c r="B13" s="13" t="inlineStr">
        <is>
          <t>Pulled automatically from another tab. Don't overwrite — it will break the link.</t>
        </is>
      </c>
    </row>
    <row r="14" ht="24" customHeight="1">
      <c r="A14" s="12" t="inlineStr">
        <is>
          <t>Black text</t>
        </is>
      </c>
      <c r="B14" s="13" t="inlineStr">
        <is>
          <t>Calculated for you. Don't overwrite.</t>
        </is>
      </c>
    </row>
    <row r="15">
      <c r="A15" s="12" t="inlineStr"/>
      <c r="B15" s="13" t="inlineStr"/>
    </row>
    <row r="16">
      <c r="A16" s="14" t="inlineStr">
        <is>
          <t>KEY DEFINITIONS (so stakeholders agree on terms)</t>
        </is>
      </c>
    </row>
    <row r="17" ht="39" customHeight="1">
      <c r="A17" s="12" t="inlineStr">
        <is>
          <t>Intent</t>
        </is>
      </c>
      <c r="B17" s="13" t="inlineStr">
        <is>
          <t>The AI's internal code-name for one thing the customer wants (e.g. cancel_order). "Stop my shipment", "cancel order 1001", "I bought the wrong item" = different words, one intent.</t>
        </is>
      </c>
    </row>
    <row r="18" ht="39" customHeight="1">
      <c r="A18" s="12" t="inlineStr">
        <is>
          <t>Monthly Volume</t>
        </is>
      </c>
      <c r="B18" s="13" t="inlineStr">
        <is>
          <t>Historical demand from EXISTING channels (phone, live chat, email, tickets) — how many times humans handle this today. NOT hoped-for bot chats.</t>
        </is>
      </c>
    </row>
    <row r="19" ht="26" customHeight="1">
      <c r="A19" s="12" t="inlineStr">
        <is>
          <t>Target Resolution %</t>
        </is>
      </c>
      <c r="B19" s="13" t="inlineStr">
        <is>
          <t>Share of that intent's contacts the bot completes end-to-end, with NO human. Base the money model on this — not on "containment".</t>
        </is>
      </c>
    </row>
    <row r="20" ht="39" customHeight="1">
      <c r="A20" s="12" t="inlineStr">
        <is>
          <t>Resolution ≠ Containment</t>
        </is>
      </c>
      <c r="B20" s="13" t="inlineStr">
        <is>
          <t>Containment = the session never reached a human (includes people who gave up and re-contact you later). Resolution = the task was actually completed. This pack uses Resolution.</t>
        </is>
      </c>
    </row>
    <row r="21" ht="39" customHeight="1">
      <c r="A21" s="12" t="inlineStr">
        <is>
          <t>Why never 100%?</t>
        </is>
      </c>
      <c r="B21" s="13" t="inlineStr">
        <is>
          <t>Business rules block it (order shipped, value &gt; threshold), user input fails (can't find Order ID), sentiment escalates ("give me a human!"), or the backend API errors out.</t>
        </is>
      </c>
    </row>
    <row r="22" ht="26" customHeight="1">
      <c r="A22" s="12" t="inlineStr">
        <is>
          <t>Sessions ≠ Intent volume</t>
        </is>
      </c>
      <c r="B22" s="13" t="inlineStr">
        <is>
          <t>One chat can trigger several intents ("where's my order?" then "cancel it"). Count intents, not sessions, when sizing volume.</t>
        </is>
      </c>
    </row>
  </sheetData>
  <mergeCells count="21">
    <mergeCell ref="B4:F4"/>
    <mergeCell ref="A16:F16"/>
    <mergeCell ref="B7:F7"/>
    <mergeCell ref="B22:F22"/>
    <mergeCell ref="B18:F18"/>
    <mergeCell ref="B21:F21"/>
    <mergeCell ref="A2:F2"/>
    <mergeCell ref="B12:F12"/>
    <mergeCell ref="A5:F5"/>
    <mergeCell ref="B11:F11"/>
    <mergeCell ref="B14:F14"/>
    <mergeCell ref="B8:F8"/>
    <mergeCell ref="B17:F17"/>
    <mergeCell ref="B13:F13"/>
    <mergeCell ref="A10:F10"/>
    <mergeCell ref="B19:F19"/>
    <mergeCell ref="B9:F9"/>
    <mergeCell ref="B6:F6"/>
    <mergeCell ref="B20:F20"/>
    <mergeCell ref="B15:F15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5" customWidth="1" min="4" max="4"/>
    <col width="17" customWidth="1" min="5" max="5"/>
    <col width="30" customWidth="1" min="6" max="6"/>
  </cols>
  <sheetData>
    <row r="1" ht="22" customHeight="1">
      <c r="A1" s="1" t="inlineStr">
        <is>
          <t>TABLE 1 — Existing Channel Discovery (Raw Contact-Centre Data)</t>
        </is>
      </c>
    </row>
    <row r="2" ht="30" customHeight="1">
      <c r="A2" s="2" t="inlineStr">
        <is>
          <t>Collected BEFORE building anything, from call/chat logs, ticket analytics and support managers. Blue cells = you fill in. Sample rows are an example — replace with your client's data.</t>
        </is>
      </c>
    </row>
    <row r="4" ht="30" customHeight="1">
      <c r="A4" s="18" t="inlineStr">
        <is>
          <t>Contact Driver / Goal</t>
        </is>
      </c>
      <c r="B4" s="18" t="inlineStr">
        <is>
          <t>Mapped Intent Name</t>
        </is>
      </c>
      <c r="C4" s="18" t="inlineStr">
        <is>
          <t>Existing Channels Used</t>
        </is>
      </c>
      <c r="D4" s="18" t="inlineStr">
        <is>
          <t>Monthly Volume</t>
        </is>
      </c>
      <c r="E4" s="18" t="inlineStr">
        <is>
          <t>Avg Handle Time (min)</t>
        </is>
      </c>
      <c r="F4" s="18" t="inlineStr">
        <is>
          <t>Notes</t>
        </is>
      </c>
    </row>
    <row r="5">
      <c r="A5" s="19" t="inlineStr">
        <is>
          <t>Track delivery progress</t>
        </is>
      </c>
      <c r="B5" s="19" t="inlineStr">
        <is>
          <t>check_order_status</t>
        </is>
      </c>
      <c r="C5" s="19" t="inlineStr">
        <is>
          <t>Phone, Webchat, Email</t>
        </is>
      </c>
      <c r="D5" s="20" t="n">
        <v>20000</v>
      </c>
      <c r="E5" s="21" t="n">
        <v>3</v>
      </c>
      <c r="F5" s="19" t="inlineStr">
        <is>
          <t>Top contact driver</t>
        </is>
      </c>
    </row>
    <row r="6">
      <c r="A6" s="19" t="inlineStr">
        <is>
          <t>Cancel pending order</t>
        </is>
      </c>
      <c r="B6" s="19" t="inlineStr">
        <is>
          <t>cancel_order</t>
        </is>
      </c>
      <c r="C6" s="19" t="inlineStr">
        <is>
          <t>Phone, Webchat</t>
        </is>
      </c>
      <c r="D6" s="20" t="n">
        <v>7500</v>
      </c>
      <c r="E6" s="21" t="n">
        <v>5</v>
      </c>
      <c r="F6" s="19" t="inlineStr">
        <is>
          <t>Guardrail: value &gt; €500 needs manager</t>
        </is>
      </c>
    </row>
    <row r="7">
      <c r="A7" s="19" t="inlineStr">
        <is>
          <t>Change shipping address</t>
        </is>
      </c>
      <c r="B7" s="19" t="inlineStr">
        <is>
          <t>change_address</t>
        </is>
      </c>
      <c r="C7" s="19" t="inlineStr">
        <is>
          <t>Email, Web forms</t>
        </is>
      </c>
      <c r="D7" s="20" t="n">
        <v>10000</v>
      </c>
      <c r="E7" s="21" t="n">
        <v>8</v>
      </c>
      <c r="F7" s="19" t="inlineStr">
        <is>
          <t>Legacy mainframe, no API</t>
        </is>
      </c>
    </row>
    <row r="8">
      <c r="A8" s="22" t="n"/>
      <c r="B8" s="22" t="n"/>
      <c r="C8" s="22" t="n"/>
      <c r="D8" s="23" t="n"/>
      <c r="E8" s="24" t="n"/>
      <c r="F8" s="22" t="n"/>
    </row>
    <row r="9">
      <c r="A9" s="22" t="n"/>
      <c r="B9" s="22" t="n"/>
      <c r="C9" s="22" t="n"/>
      <c r="D9" s="23" t="n"/>
      <c r="E9" s="24" t="n"/>
      <c r="F9" s="22" t="n"/>
    </row>
    <row r="10">
      <c r="A10" s="22" t="n"/>
      <c r="B10" s="22" t="n"/>
      <c r="C10" s="22" t="n"/>
      <c r="D10" s="23" t="n"/>
      <c r="E10" s="24" t="n"/>
      <c r="F10" s="22" t="n"/>
    </row>
    <row r="11">
      <c r="A11" s="22" t="n"/>
      <c r="B11" s="22" t="n"/>
      <c r="C11" s="22" t="n"/>
      <c r="D11" s="23" t="n"/>
      <c r="E11" s="24" t="n"/>
      <c r="F11" s="22" t="n"/>
    </row>
    <row r="12">
      <c r="A12" s="22" t="n"/>
      <c r="B12" s="22" t="n"/>
      <c r="C12" s="22" t="n"/>
      <c r="D12" s="23" t="n"/>
      <c r="E12" s="24" t="n"/>
      <c r="F12" s="22" t="n"/>
    </row>
    <row r="13">
      <c r="A13" s="22" t="n"/>
      <c r="B13" s="22" t="n"/>
      <c r="C13" s="22" t="n"/>
      <c r="D13" s="23" t="n"/>
      <c r="E13" s="24" t="n"/>
      <c r="F13" s="2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7" customWidth="1" min="4" max="4"/>
    <col width="22" customWidth="1" min="5" max="5"/>
    <col width="34" customWidth="1" min="6" max="6"/>
  </cols>
  <sheetData>
    <row r="1" ht="22" customHeight="1">
      <c r="A1" s="1" t="inlineStr">
        <is>
          <t>TABLE 2 — Technical Prioritization &amp; Feasibility Matrix</t>
        </is>
      </c>
    </row>
    <row r="2" ht="30" customHeight="1">
      <c r="A2" s="2" t="inlineStr">
        <is>
          <t>Filled by the Conv AI BA / architect. Target Resolution % = share of that intent's contacts the bot completes end-to-end with no human (see How to Use). Blue cells = you fill in.</t>
        </is>
      </c>
    </row>
    <row r="4" ht="30" customHeight="1">
      <c r="A4" s="18" t="inlineStr">
        <is>
          <t>Intent Name</t>
        </is>
      </c>
      <c r="B4" s="18" t="inlineStr">
        <is>
          <t>API Readiness</t>
        </is>
      </c>
      <c r="C4" s="18" t="inlineStr">
        <is>
          <t>Complexity</t>
        </is>
      </c>
      <c r="D4" s="18" t="inlineStr">
        <is>
          <t>Target Resolution %</t>
        </is>
      </c>
      <c r="E4" s="18" t="inlineStr">
        <is>
          <t>Recommended Priority</t>
        </is>
      </c>
      <c r="F4" s="18" t="inlineStr">
        <is>
          <t>Rationale (why this %)</t>
        </is>
      </c>
    </row>
    <row r="5">
      <c r="A5" s="19" t="inlineStr">
        <is>
          <t>check_order_status</t>
        </is>
      </c>
      <c r="B5" s="25" t="inlineStr">
        <is>
          <t>High (REST API exists)</t>
        </is>
      </c>
      <c r="C5" s="25" t="inlineStr">
        <is>
          <t>Low</t>
        </is>
      </c>
      <c r="D5" s="26" t="n">
        <v>0.7</v>
      </c>
      <c r="E5" s="25" t="inlineStr">
        <is>
          <t>Phase 1 (Quick Win)</t>
        </is>
      </c>
      <c r="F5" s="19" t="inlineStr">
        <is>
          <t>User gives Order ID, bot queries API, returns tracking. ~30% drop out: typos, unauthenticated accounts, lost packages.</t>
        </is>
      </c>
    </row>
    <row r="6">
      <c r="A6" s="19" t="inlineStr">
        <is>
          <t>cancel_order</t>
        </is>
      </c>
      <c r="B6" s="25" t="inlineStr">
        <is>
          <t>High (REST API exists)</t>
        </is>
      </c>
      <c r="C6" s="25" t="inlineStr">
        <is>
          <t>Medium</t>
        </is>
      </c>
      <c r="D6" s="26" t="n">
        <v>0.4</v>
      </c>
      <c r="E6" s="25" t="inlineStr">
        <is>
          <t>Phase 1 (Quick Win)</t>
        </is>
      </c>
      <c r="F6" s="19" t="inlineStr">
        <is>
          <t>Many attempts fail auto-completion: order already shipped, exceeds €500, or needs manager override.</t>
        </is>
      </c>
    </row>
    <row r="7">
      <c r="A7" s="19" t="inlineStr">
        <is>
          <t>change_address</t>
        </is>
      </c>
      <c r="B7" s="25" t="inlineStr">
        <is>
          <t>Low (Legacy mainframe)</t>
        </is>
      </c>
      <c r="C7" s="25" t="inlineStr">
        <is>
          <t>High</t>
        </is>
      </c>
      <c r="D7" s="26" t="n">
        <v>0.1</v>
      </c>
      <c r="E7" s="25" t="inlineStr">
        <is>
          <t>Phase 2 (Backlog)</t>
        </is>
      </c>
      <c r="F7" s="19" t="inlineStr">
        <is>
          <t>No API → FAQ / deflection only. Cannot automate the write action.</t>
        </is>
      </c>
    </row>
    <row r="8">
      <c r="A8" s="22" t="n"/>
      <c r="B8" s="27" t="n"/>
      <c r="C8" s="27" t="n"/>
      <c r="D8" s="28" t="n"/>
      <c r="E8" s="27" t="n"/>
      <c r="F8" s="22" t="n"/>
    </row>
    <row r="9">
      <c r="A9" s="22" t="n"/>
      <c r="B9" s="27" t="n"/>
      <c r="C9" s="27" t="n"/>
      <c r="D9" s="28" t="n"/>
      <c r="E9" s="27" t="n"/>
      <c r="F9" s="22" t="n"/>
    </row>
    <row r="10">
      <c r="A10" s="22" t="n"/>
      <c r="B10" s="27" t="n"/>
      <c r="C10" s="27" t="n"/>
      <c r="D10" s="28" t="n"/>
      <c r="E10" s="27" t="n"/>
      <c r="F10" s="22" t="n"/>
    </row>
    <row r="11">
      <c r="A11" s="22" t="n"/>
      <c r="B11" s="27" t="n"/>
      <c r="C11" s="27" t="n"/>
      <c r="D11" s="28" t="n"/>
      <c r="E11" s="27" t="n"/>
      <c r="F11" s="22" t="n"/>
    </row>
    <row r="12">
      <c r="A12" s="22" t="n"/>
      <c r="B12" s="27" t="n"/>
      <c r="C12" s="27" t="n"/>
      <c r="D12" s="28" t="n"/>
      <c r="E12" s="27" t="n"/>
      <c r="F12" s="22" t="n"/>
    </row>
    <row r="13">
      <c r="A13" s="22" t="n"/>
      <c r="B13" s="27" t="n"/>
      <c r="C13" s="27" t="n"/>
      <c r="D13" s="28" t="n"/>
      <c r="E13" s="27" t="n"/>
      <c r="F13" s="22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1" customWidth="1" min="3" max="3"/>
    <col width="17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TABLE 3 — Phase-1 ROI Forecast</t>
        </is>
      </c>
    </row>
    <row r="2" ht="30" customHeight="1">
      <c r="A2" s="2" t="inlineStr">
        <is>
          <t>Money math for the executive business case. Volume pulls from Table 1, Resolution % from Table 2 — automatically. Only edit: the yellow rate + which intents (column A) you include in Phase 1.</t>
        </is>
      </c>
    </row>
    <row r="4">
      <c r="A4" s="29" t="inlineStr">
        <is>
          <t>ASSUMPTIONS</t>
        </is>
      </c>
    </row>
    <row r="5">
      <c r="A5" s="30" t="inlineStr">
        <is>
          <t>Blended agent cost (€ / hour)</t>
        </is>
      </c>
      <c r="B5" s="31" t="n">
        <v>50</v>
      </c>
    </row>
    <row r="6">
      <c r="A6" s="32" t="inlineStr">
        <is>
          <t>Cost per minute (€)</t>
        </is>
      </c>
      <c r="B6" s="33">
        <f>B5/60</f>
        <v/>
      </c>
    </row>
    <row r="7">
      <c r="A7" s="2" t="inlineStr">
        <is>
          <t>Replace €50 with your client's fully-loaded agent cost (salary + overhead). Every figure below recalculates from it.</t>
        </is>
      </c>
    </row>
    <row r="9" ht="30" customHeight="1">
      <c r="A9" s="18" t="inlineStr">
        <is>
          <t>Intent Name (Phase 1)</t>
        </is>
      </c>
      <c r="B9" s="18" t="inlineStr">
        <is>
          <t>Monthly Volume</t>
        </is>
      </c>
      <c r="C9" s="18" t="inlineStr">
        <is>
          <t>AHT (min)</t>
        </is>
      </c>
      <c r="D9" s="18" t="inlineStr">
        <is>
          <t>Target Resolution %</t>
        </is>
      </c>
      <c r="E9" s="18" t="inlineStr">
        <is>
          <t>Monthly Resolved</t>
        </is>
      </c>
      <c r="F9" s="18" t="inlineStr">
        <is>
          <t>Saved Agent Hours / mo</t>
        </is>
      </c>
      <c r="G9" s="18" t="inlineStr">
        <is>
          <t>Monthly Savings (€)</t>
        </is>
      </c>
      <c r="H9" s="18" t="inlineStr">
        <is>
          <t>Annual Savings (€)</t>
        </is>
      </c>
    </row>
    <row r="10">
      <c r="A10" s="22" t="inlineStr">
        <is>
          <t>check_order_status</t>
        </is>
      </c>
      <c r="B10" s="34">
        <f>IFERROR(INDEX('1. Channel Discovery'!$D$5:$D$24,MATCH($A10,'1. Channel Discovery'!$B$5:$B$24,0)),"")</f>
        <v/>
      </c>
      <c r="C10" s="35">
        <f>IFERROR(INDEX('1. Channel Discovery'!$E$5:$E$24,MATCH($A10,'1. Channel Discovery'!$B$5:$B$24,0)),"")</f>
        <v/>
      </c>
      <c r="D10" s="36">
        <f>IFERROR(INDEX('2. Feasibility Matrix'!$D$5:$D$24,MATCH($A10,'2. Feasibility Matrix'!$A$5:$A$24,0)),"")</f>
        <v/>
      </c>
      <c r="E10" s="37">
        <f>IF(OR($B10="",$D10=""),"",$B10*$D10)</f>
        <v/>
      </c>
      <c r="F10" s="37">
        <f>IF(OR($E10="",$C10=""),"",$E10*$C10/60)</f>
        <v/>
      </c>
      <c r="G10" s="38">
        <f>IF($F10="","",$F10*$B$5)</f>
        <v/>
      </c>
      <c r="H10" s="38">
        <f>IF($G10="","",$G10*12)</f>
        <v/>
      </c>
    </row>
    <row r="11">
      <c r="A11" s="22" t="inlineStr">
        <is>
          <t>cancel_order</t>
        </is>
      </c>
      <c r="B11" s="34">
        <f>IFERROR(INDEX('1. Channel Discovery'!$D$5:$D$24,MATCH($A11,'1. Channel Discovery'!$B$5:$B$24,0)),"")</f>
        <v/>
      </c>
      <c r="C11" s="35">
        <f>IFERROR(INDEX('1. Channel Discovery'!$E$5:$E$24,MATCH($A11,'1. Channel Discovery'!$B$5:$B$24,0)),"")</f>
        <v/>
      </c>
      <c r="D11" s="36">
        <f>IFERROR(INDEX('2. Feasibility Matrix'!$D$5:$D$24,MATCH($A11,'2. Feasibility Matrix'!$A$5:$A$24,0)),"")</f>
        <v/>
      </c>
      <c r="E11" s="37">
        <f>IF(OR($B11="",$D11=""),"",$B11*$D11)</f>
        <v/>
      </c>
      <c r="F11" s="37">
        <f>IF(OR($E11="",$C11=""),"",$E11*$C11/60)</f>
        <v/>
      </c>
      <c r="G11" s="38">
        <f>IF($F11="","",$F11*$B$5)</f>
        <v/>
      </c>
      <c r="H11" s="38">
        <f>IF($G11="","",$G11*12)</f>
        <v/>
      </c>
    </row>
    <row r="12">
      <c r="A12" s="22" t="n"/>
      <c r="B12" s="34">
        <f>IFERROR(INDEX('1. Channel Discovery'!$D$5:$D$24,MATCH($A12,'1. Channel Discovery'!$B$5:$B$24,0)),"")</f>
        <v/>
      </c>
      <c r="C12" s="35">
        <f>IFERROR(INDEX('1. Channel Discovery'!$E$5:$E$24,MATCH($A12,'1. Channel Discovery'!$B$5:$B$24,0)),"")</f>
        <v/>
      </c>
      <c r="D12" s="36">
        <f>IFERROR(INDEX('2. Feasibility Matrix'!$D$5:$D$24,MATCH($A12,'2. Feasibility Matrix'!$A$5:$A$24,0)),"")</f>
        <v/>
      </c>
      <c r="E12" s="37">
        <f>IF(OR($B12="",$D12=""),"",$B12*$D12)</f>
        <v/>
      </c>
      <c r="F12" s="37">
        <f>IF(OR($E12="",$C12=""),"",$E12*$C12/60)</f>
        <v/>
      </c>
      <c r="G12" s="38">
        <f>IF($F12="","",$F12*$B$5)</f>
        <v/>
      </c>
      <c r="H12" s="38">
        <f>IF($G12="","",$G12*12)</f>
        <v/>
      </c>
    </row>
    <row r="13">
      <c r="A13" s="22" t="n"/>
      <c r="B13" s="34">
        <f>IFERROR(INDEX('1. Channel Discovery'!$D$5:$D$24,MATCH($A13,'1. Channel Discovery'!$B$5:$B$24,0)),"")</f>
        <v/>
      </c>
      <c r="C13" s="35">
        <f>IFERROR(INDEX('1. Channel Discovery'!$E$5:$E$24,MATCH($A13,'1. Channel Discovery'!$B$5:$B$24,0)),"")</f>
        <v/>
      </c>
      <c r="D13" s="36">
        <f>IFERROR(INDEX('2. Feasibility Matrix'!$D$5:$D$24,MATCH($A13,'2. Feasibility Matrix'!$A$5:$A$24,0)),"")</f>
        <v/>
      </c>
      <c r="E13" s="37">
        <f>IF(OR($B13="",$D13=""),"",$B13*$D13)</f>
        <v/>
      </c>
      <c r="F13" s="37">
        <f>IF(OR($E13="",$C13=""),"",$E13*$C13/60)</f>
        <v/>
      </c>
      <c r="G13" s="38">
        <f>IF($F13="","",$F13*$B$5)</f>
        <v/>
      </c>
      <c r="H13" s="38">
        <f>IF($G13="","",$G13*12)</f>
        <v/>
      </c>
    </row>
    <row r="14">
      <c r="A14" s="22" t="n"/>
      <c r="B14" s="34">
        <f>IFERROR(INDEX('1. Channel Discovery'!$D$5:$D$24,MATCH($A14,'1. Channel Discovery'!$B$5:$B$24,0)),"")</f>
        <v/>
      </c>
      <c r="C14" s="35">
        <f>IFERROR(INDEX('1. Channel Discovery'!$E$5:$E$24,MATCH($A14,'1. Channel Discovery'!$B$5:$B$24,0)),"")</f>
        <v/>
      </c>
      <c r="D14" s="36">
        <f>IFERROR(INDEX('2. Feasibility Matrix'!$D$5:$D$24,MATCH($A14,'2. Feasibility Matrix'!$A$5:$A$24,0)),"")</f>
        <v/>
      </c>
      <c r="E14" s="37">
        <f>IF(OR($B14="",$D14=""),"",$B14*$D14)</f>
        <v/>
      </c>
      <c r="F14" s="37">
        <f>IF(OR($E14="",$C14=""),"",$E14*$C14/60)</f>
        <v/>
      </c>
      <c r="G14" s="38">
        <f>IF($F14="","",$F14*$B$5)</f>
        <v/>
      </c>
      <c r="H14" s="38">
        <f>IF($G14="","",$G14*12)</f>
        <v/>
      </c>
    </row>
    <row r="15">
      <c r="A15" s="39" t="inlineStr">
        <is>
          <t>TOTALS</t>
        </is>
      </c>
      <c r="B15" s="40">
        <f>SUM(B10:B14)</f>
        <v/>
      </c>
      <c r="C15" s="41" t="n"/>
      <c r="D15" s="41" t="n"/>
      <c r="E15" s="40">
        <f>SUM(E10:E14)</f>
        <v/>
      </c>
      <c r="F15" s="40">
        <f>SUM(F10:F14)</f>
        <v/>
      </c>
      <c r="G15" s="42">
        <f>SUM(G10:G14)</f>
        <v/>
      </c>
      <c r="H15" s="42">
        <f>SUM(H10:H14)</f>
        <v/>
      </c>
    </row>
    <row r="17" ht="40" customHeight="1">
      <c r="A17" s="2" t="inlineStr">
        <is>
          <t>Executive takeaway (auto-updates): read the TOTALS row into a sentence — "By automating these Phase-1 intents we resolve the Monthly Resolved figure with no human help, saving the Monthly Savings figure per month and freeing the Saved Agent Hours for higher-value work."</t>
        </is>
      </c>
    </row>
  </sheetData>
  <mergeCells count="4">
    <mergeCell ref="A7:H7"/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2026-08-03T10:57:37Z</dcterms:created>
  <dcterms:modified xmlns:dcterms="http://purl.org/dc/terms/" xmlns:xsi="http://www.w3.org/2001/XMLSchema-instance" xsi:type="dcterms:W3CDTF">2026-08-03T10:57:37Z</dcterms:modified>
</cp:coreProperties>
</file>